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enzopaduano/Desktop/"/>
    </mc:Choice>
  </mc:AlternateContent>
  <xr:revisionPtr revIDLastSave="0" documentId="13_ncr:1_{BEFCD42C-2A3B-D14E-9CB2-8417FAB96E51}" xr6:coauthVersionLast="47" xr6:coauthVersionMax="47" xr10:uidLastSave="{00000000-0000-0000-0000-000000000000}"/>
  <bookViews>
    <workbookView xWindow="0" yWindow="660" windowWidth="30240" windowHeight="17680" activeTab="1" xr2:uid="{00000000-000D-0000-FFFF-FFFF00000000}"/>
  </bookViews>
  <sheets>
    <sheet name="OFFRE" sheetId="1" r:id="rId1"/>
    <sheet name="FORMUL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H28" i="2"/>
  <c r="G28" i="2"/>
  <c r="H27" i="2"/>
  <c r="G27" i="2"/>
  <c r="H26" i="2"/>
  <c r="G26" i="2"/>
  <c r="H25" i="2"/>
  <c r="G25" i="2"/>
  <c r="H24" i="2"/>
  <c r="G24" i="2"/>
  <c r="H23" i="2"/>
  <c r="G23" i="2"/>
  <c r="G22" i="2"/>
  <c r="H22" i="2" s="1"/>
  <c r="P21" i="1" s="1"/>
  <c r="G21" i="2"/>
  <c r="H21" i="2" s="1"/>
  <c r="B55" i="1"/>
  <c r="B54" i="1"/>
  <c r="B53" i="1"/>
  <c r="F39" i="1"/>
  <c r="D39" i="1"/>
  <c r="F38" i="1"/>
  <c r="D38" i="1"/>
  <c r="F37" i="1"/>
  <c r="D37" i="1"/>
  <c r="N36" i="1"/>
  <c r="F36" i="1"/>
  <c r="D36" i="1"/>
  <c r="D28" i="1"/>
  <c r="P27" i="1"/>
  <c r="N27" i="1"/>
  <c r="M27" i="1"/>
  <c r="K27" i="1"/>
  <c r="J27" i="1"/>
  <c r="I27" i="1"/>
  <c r="D27" i="1"/>
  <c r="B27" i="1"/>
  <c r="P26" i="1"/>
  <c r="N26" i="1"/>
  <c r="M26" i="1"/>
  <c r="K26" i="1"/>
  <c r="J26" i="1"/>
  <c r="I26" i="1"/>
  <c r="D26" i="1"/>
  <c r="B26" i="1"/>
  <c r="P25" i="1"/>
  <c r="N25" i="1"/>
  <c r="M25" i="1"/>
  <c r="K25" i="1"/>
  <c r="J25" i="1"/>
  <c r="I25" i="1"/>
  <c r="D25" i="1"/>
  <c r="B25" i="1"/>
  <c r="P24" i="1"/>
  <c r="N24" i="1"/>
  <c r="M24" i="1"/>
  <c r="K24" i="1"/>
  <c r="J24" i="1"/>
  <c r="I24" i="1"/>
  <c r="D24" i="1"/>
  <c r="B24" i="1"/>
  <c r="P23" i="1"/>
  <c r="N23" i="1"/>
  <c r="M23" i="1"/>
  <c r="K23" i="1"/>
  <c r="J23" i="1"/>
  <c r="I23" i="1"/>
  <c r="D23" i="1"/>
  <c r="B23" i="1"/>
  <c r="P22" i="1"/>
  <c r="N22" i="1"/>
  <c r="M22" i="1"/>
  <c r="K22" i="1"/>
  <c r="J22" i="1"/>
  <c r="I22" i="1"/>
  <c r="D22" i="1"/>
  <c r="B22" i="1"/>
  <c r="N21" i="1"/>
  <c r="M21" i="1"/>
  <c r="K21" i="1"/>
  <c r="J21" i="1"/>
  <c r="I21" i="1"/>
  <c r="D21" i="1"/>
  <c r="B21" i="1"/>
  <c r="N20" i="1"/>
  <c r="M20" i="1"/>
  <c r="K20" i="1"/>
  <c r="J20" i="1"/>
  <c r="I20" i="1"/>
  <c r="D20" i="1"/>
  <c r="B20" i="1"/>
  <c r="E17" i="1"/>
  <c r="D17" i="1"/>
  <c r="E16" i="1"/>
  <c r="D16" i="1"/>
  <c r="E15" i="1"/>
  <c r="D15" i="1"/>
  <c r="B13" i="1"/>
  <c r="B10" i="1"/>
  <c r="K36" i="1" l="1"/>
  <c r="P20" i="1"/>
  <c r="P36" i="1"/>
</calcChain>
</file>

<file path=xl/sharedStrings.xml><?xml version="1.0" encoding="utf-8"?>
<sst xmlns="http://schemas.openxmlformats.org/spreadsheetml/2006/main" count="82" uniqueCount="75">
  <si>
    <t>To the attention of :</t>
  </si>
  <si>
    <t>Machine :</t>
  </si>
  <si>
    <t>Client Code :</t>
  </si>
  <si>
    <t>Reference</t>
  </si>
  <si>
    <t>Designation</t>
  </si>
  <si>
    <t>Qty</t>
  </si>
  <si>
    <t>Avail</t>
  </si>
  <si>
    <t>Unit Price</t>
  </si>
  <si>
    <t>Discount</t>
  </si>
  <si>
    <t>Discounted
Unit Price</t>
  </si>
  <si>
    <t>Total</t>
  </si>
  <si>
    <t>TOTAL</t>
  </si>
  <si>
    <t>VAT</t>
  </si>
  <si>
    <t>TOTAL w/ VAT</t>
  </si>
  <si>
    <t>Payment Terms :</t>
  </si>
  <si>
    <t>Validity of Offer :</t>
  </si>
  <si>
    <t>Delivery Terms :</t>
  </si>
  <si>
    <t>Currency :</t>
  </si>
  <si>
    <t>Contractual Document:</t>
  </si>
  <si>
    <t>The availability date is indicative and will be confirmed upon ordering, unless the item is sold in the meantime.</t>
  </si>
  <si>
    <t>Please refer to the attached terms and conditions of sale.</t>
  </si>
  <si>
    <t>We are at your disposal for any further information</t>
  </si>
  <si>
    <t>Sincerely,</t>
  </si>
  <si>
    <t>FORMULAIRE DE SAISIE - OFFRE WESTCHASE</t>
  </si>
  <si>
    <t>OFFER N°</t>
  </si>
  <si>
    <t>DE26464</t>
  </si>
  <si>
    <t>Ville</t>
  </si>
  <si>
    <t>Lagos</t>
  </si>
  <si>
    <t>Date</t>
  </si>
  <si>
    <t>To the attention of</t>
  </si>
  <si>
    <t>Mr. ANTHONY IBIDIGBA</t>
  </si>
  <si>
    <t>Machine</t>
  </si>
  <si>
    <t>RT555 s/n 161606</t>
  </si>
  <si>
    <t>Client Code</t>
  </si>
  <si>
    <t>270251</t>
  </si>
  <si>
    <t>Client - Ligne 1</t>
  </si>
  <si>
    <t>INTELS NIGERIA LIMITED</t>
  </si>
  <si>
    <t>Client - Ligne 2</t>
  </si>
  <si>
    <t>ONNE OIL &amp; GAS FREEZONE</t>
  </si>
  <si>
    <t>Client - Ligne 3</t>
  </si>
  <si>
    <t>ONNE RIVERS STATE</t>
  </si>
  <si>
    <t>Client - Ligne 4</t>
  </si>
  <si>
    <t>NIGERIA - NIGERIA</t>
  </si>
  <si>
    <t>Payment Terms</t>
  </si>
  <si>
    <t>Advance payment</t>
  </si>
  <si>
    <t>Validity of Offer</t>
  </si>
  <si>
    <t>30 Days</t>
  </si>
  <si>
    <t>Delivery Terms</t>
  </si>
  <si>
    <t>CIF, Port Harcourt</t>
  </si>
  <si>
    <t>Currency</t>
  </si>
  <si>
    <t>USD</t>
  </si>
  <si>
    <t>VAT Rate</t>
  </si>
  <si>
    <t>Discounted Unit Price</t>
  </si>
  <si>
    <t>T135335</t>
  </si>
  <si>
    <t>COMPUTER, RCL W/ DATALOGGER
REPLACES P/N T107350</t>
  </si>
  <si>
    <t>Imm</t>
  </si>
  <si>
    <t>TRANSP</t>
  </si>
  <si>
    <t>Air freight option incoterms CIF PORT
HARCOURT, NIGERIA – optional</t>
  </si>
  <si>
    <t>10D</t>
  </si>
  <si>
    <t>Account Name</t>
  </si>
  <si>
    <t>WESTCHASE OIL AND GAS LTD</t>
  </si>
  <si>
    <t>Number</t>
  </si>
  <si>
    <t>USD ACCOUNT NO : 5250152975</t>
  </si>
  <si>
    <t>BENEFICIARY BANK</t>
  </si>
  <si>
    <t>FIDELITY BANK PLC</t>
  </si>
  <si>
    <t>SWIFT CODE</t>
  </si>
  <si>
    <t>CITIUS33</t>
  </si>
  <si>
    <t>SORT CODE</t>
  </si>
  <si>
    <t>FIDTNGLA</t>
  </si>
  <si>
    <t>Footer line 1</t>
  </si>
  <si>
    <t>WESTCHASE OIL &amp; GAS – 11, Sumbo Jibowu Ikoyi, Lagos, Lagos, Nigeria</t>
  </si>
  <si>
    <t>Footer line 2</t>
  </si>
  <si>
    <t>Tél. : +234 814 315 5517 - vematwestchase @vematgroup.com</t>
  </si>
  <si>
    <t>Footer line 3</t>
  </si>
  <si>
    <t>Vemat Westchase LTD is an authorized distributor of TEREX RT CRANES, TADANO, JLG, MAGNI, INGERSOLL RAND, and MECALAC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</si>
</sst>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\$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ED1C2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9" fontId="3" fillId="4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4" fontId="3" fillId="5" borderId="1" xfId="0" applyNumberFormat="1" applyFont="1" applyFill="1" applyBorder="1"/>
    <xf numFmtId="0" fontId="3" fillId="6" borderId="0" xfId="0" applyFont="1" applyFill="1"/>
    <xf numFmtId="0" fontId="3" fillId="7" borderId="0" xfId="0" applyFont="1" applyFill="1"/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top" wrapText="1"/>
    </xf>
    <xf numFmtId="0" fontId="4" fillId="6" borderId="12" xfId="0" applyFont="1" applyFill="1" applyBorder="1" applyAlignment="1">
      <alignment horizontal="center" vertical="top" wrapText="1"/>
    </xf>
    <xf numFmtId="9" fontId="4" fillId="6" borderId="11" xfId="0" applyNumberFormat="1" applyFont="1" applyFill="1" applyBorder="1" applyAlignment="1">
      <alignment horizontal="center" vertical="top" wrapText="1"/>
    </xf>
    <xf numFmtId="0" fontId="3" fillId="6" borderId="0" xfId="0" applyFont="1" applyFill="1" applyAlignment="1">
      <alignment wrapText="1"/>
    </xf>
    <xf numFmtId="0" fontId="4" fillId="6" borderId="0" xfId="0" applyFont="1" applyFill="1" applyAlignme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9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4" fillId="6" borderId="0" xfId="0" applyFont="1" applyFill="1"/>
    <xf numFmtId="0" fontId="3" fillId="6" borderId="0" xfId="0" applyFont="1" applyFill="1"/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left" vertical="top" wrapText="1"/>
    </xf>
    <xf numFmtId="4" fontId="4" fillId="6" borderId="11" xfId="0" applyNumberFormat="1" applyFont="1" applyFill="1" applyBorder="1" applyAlignment="1">
      <alignment horizontal="right" vertical="top" wrapText="1"/>
    </xf>
    <xf numFmtId="0" fontId="4" fillId="6" borderId="12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center" vertical="top" wrapText="1"/>
    </xf>
    <xf numFmtId="0" fontId="4" fillId="6" borderId="12" xfId="0" applyFont="1" applyFill="1" applyBorder="1" applyAlignment="1">
      <alignment horizontal="center" vertical="top" wrapText="1"/>
    </xf>
    <xf numFmtId="0" fontId="4" fillId="6" borderId="10" xfId="0" applyFont="1" applyFill="1" applyBorder="1" applyAlignment="1">
      <alignment horizontal="center" vertical="center"/>
    </xf>
    <xf numFmtId="165" fontId="4" fillId="6" borderId="10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wrapText="1"/>
    </xf>
    <xf numFmtId="0" fontId="4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</xdr:colOff>
      <xdr:row>0</xdr:row>
      <xdr:rowOff>38100</xdr:rowOff>
    </xdr:from>
    <xdr:ext cx="1428750" cy="1314450"/>
    <xdr:pic>
      <xdr:nvPicPr>
        <xdr:cNvPr id="2" name="c21724db-ae0c-479c-bc66-42bc1d7565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showGridLines="0" zoomScale="62" workbookViewId="0">
      <selection activeCell="J10" sqref="J10:Q14"/>
    </sheetView>
  </sheetViews>
  <sheetFormatPr baseColWidth="10" defaultColWidth="8.83203125" defaultRowHeight="14"/>
  <cols>
    <col min="1" max="1" width="2" customWidth="1"/>
    <col min="2" max="3" width="5.83203125" customWidth="1"/>
    <col min="4" max="8" width="7.5" customWidth="1"/>
    <col min="9" max="9" width="5" customWidth="1"/>
    <col min="10" max="10" width="6" customWidth="1"/>
    <col min="11" max="13" width="7" customWidth="1"/>
    <col min="14" max="17" width="7.5" customWidth="1"/>
  </cols>
  <sheetData>
    <row r="1" spans="1:17" ht="18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8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8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ht="18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ht="18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ht="18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4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3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4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24" customHeight="1">
      <c r="A10" s="10"/>
      <c r="B10" s="18" t="str">
        <f>"OFFER N° : "&amp;FORMULAIRE!$B$2</f>
        <v>OFFER N° : DE26464</v>
      </c>
      <c r="C10" s="19"/>
      <c r="D10" s="19"/>
      <c r="E10" s="20"/>
      <c r="F10" s="10"/>
      <c r="G10" s="10"/>
      <c r="H10" s="10"/>
      <c r="I10" s="10"/>
      <c r="J10" s="24" t="str">
        <f>FORMULAIRE!$B$9&amp;CHAR(10)&amp;CHAR(10)&amp;FORMULAIRE!$B$10&amp;CHAR(10)&amp;FORMULAIRE!$B$11&amp;CHAR(10)&amp;FORMULAIRE!$B$12</f>
        <v>INTELS NIGERIA LIMITED
ONNE OIL &amp; GAS FREEZONE
ONNE RIVERS STATE
NIGERIA - NIGERIA</v>
      </c>
      <c r="K10" s="25"/>
      <c r="L10" s="25"/>
      <c r="M10" s="25"/>
      <c r="N10" s="25"/>
      <c r="O10" s="25"/>
      <c r="P10" s="25"/>
      <c r="Q10" s="26"/>
    </row>
    <row r="11" spans="1:17" ht="24" customHeight="1">
      <c r="A11" s="10"/>
      <c r="B11" s="21"/>
      <c r="C11" s="22"/>
      <c r="D11" s="22"/>
      <c r="E11" s="23"/>
      <c r="F11" s="10"/>
      <c r="G11" s="10"/>
      <c r="H11" s="10"/>
      <c r="I11" s="10"/>
      <c r="J11" s="27"/>
      <c r="K11" s="28"/>
      <c r="L11" s="28"/>
      <c r="M11" s="28"/>
      <c r="N11" s="28"/>
      <c r="O11" s="28"/>
      <c r="P11" s="28"/>
      <c r="Q11" s="29"/>
    </row>
    <row r="12" spans="1:17" ht="22" customHeight="1">
      <c r="A12" s="10"/>
      <c r="B12" s="10"/>
      <c r="C12" s="10"/>
      <c r="D12" s="10"/>
      <c r="E12" s="10"/>
      <c r="F12" s="10"/>
      <c r="G12" s="10"/>
      <c r="H12" s="10"/>
      <c r="I12" s="10"/>
      <c r="J12" s="27"/>
      <c r="K12" s="28"/>
      <c r="L12" s="28"/>
      <c r="M12" s="28"/>
      <c r="N12" s="28"/>
      <c r="O12" s="28"/>
      <c r="P12" s="28"/>
      <c r="Q12" s="29"/>
    </row>
    <row r="13" spans="1:17" ht="22" customHeight="1">
      <c r="A13" s="10"/>
      <c r="B13" s="33" t="str">
        <f>FORMULAIRE!$B$3&amp;", "&amp;TEXT(FORMULAIRE!$B$4,"dd/mm/yyyy")</f>
        <v>Lagos, 25/06/2026</v>
      </c>
      <c r="C13" s="34"/>
      <c r="D13" s="34"/>
      <c r="E13" s="10"/>
      <c r="F13" s="10"/>
      <c r="G13" s="10"/>
      <c r="H13" s="10"/>
      <c r="I13" s="10"/>
      <c r="J13" s="27"/>
      <c r="K13" s="28"/>
      <c r="L13" s="28"/>
      <c r="M13" s="28"/>
      <c r="N13" s="28"/>
      <c r="O13" s="28"/>
      <c r="P13" s="28"/>
      <c r="Q13" s="29"/>
    </row>
    <row r="14" spans="1:17" ht="22" customHeight="1">
      <c r="A14" s="10"/>
      <c r="B14" s="10"/>
      <c r="C14" s="10"/>
      <c r="D14" s="10"/>
      <c r="E14" s="10"/>
      <c r="F14" s="10"/>
      <c r="G14" s="10"/>
      <c r="H14" s="10"/>
      <c r="I14" s="10"/>
      <c r="J14" s="30"/>
      <c r="K14" s="31"/>
      <c r="L14" s="31"/>
      <c r="M14" s="31"/>
      <c r="N14" s="31"/>
      <c r="O14" s="31"/>
      <c r="P14" s="31"/>
      <c r="Q14" s="32"/>
    </row>
    <row r="15" spans="1:17" ht="20" customHeight="1">
      <c r="A15" s="10"/>
      <c r="B15" s="46" t="s">
        <v>0</v>
      </c>
      <c r="C15" s="46"/>
      <c r="D15" s="46" t="str">
        <f>FORMULAIRE!$B$5</f>
        <v>Mr. ANTHONY IBIDIGBA</v>
      </c>
      <c r="E15" s="46" t="str">
        <f>FORMULAIRE!$B$5</f>
        <v>Mr. ANTHONY IBIDIGBA</v>
      </c>
      <c r="F15" s="46"/>
      <c r="G15" s="46"/>
      <c r="H15" s="46"/>
      <c r="I15" s="10"/>
      <c r="J15" s="10"/>
      <c r="K15" s="10"/>
      <c r="L15" s="10"/>
      <c r="M15" s="10"/>
      <c r="N15" s="10"/>
      <c r="O15" s="10"/>
      <c r="P15" s="10"/>
      <c r="Q15" s="10"/>
    </row>
    <row r="16" spans="1:17" ht="20" customHeight="1">
      <c r="A16" s="10"/>
      <c r="B16" s="46" t="s">
        <v>1</v>
      </c>
      <c r="C16" s="46"/>
      <c r="D16" s="46" t="str">
        <f>FORMULAIRE!$B$6</f>
        <v>RT555 s/n 161606</v>
      </c>
      <c r="E16" s="46" t="str">
        <f>FORMULAIRE!$B$6</f>
        <v>RT555 s/n 161606</v>
      </c>
      <c r="F16" s="46"/>
      <c r="G16" s="46"/>
      <c r="H16" s="46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6" customHeight="1">
      <c r="A17" s="10"/>
      <c r="B17" s="46" t="s">
        <v>2</v>
      </c>
      <c r="C17" s="46"/>
      <c r="D17" s="46" t="str">
        <f>FORMULAIRE!$B$7</f>
        <v>270251</v>
      </c>
      <c r="E17" s="46" t="str">
        <f>FORMULAIRE!$B$7</f>
        <v>270251</v>
      </c>
      <c r="F17" s="46"/>
      <c r="G17" s="46"/>
      <c r="H17" s="46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2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26" customHeight="1">
      <c r="A19" s="10"/>
      <c r="B19" s="35" t="s">
        <v>3</v>
      </c>
      <c r="C19" s="35"/>
      <c r="D19" s="35" t="s">
        <v>4</v>
      </c>
      <c r="E19" s="35"/>
      <c r="F19" s="35"/>
      <c r="G19" s="35"/>
      <c r="H19" s="35"/>
      <c r="I19" s="12" t="s">
        <v>5</v>
      </c>
      <c r="J19" s="12" t="s">
        <v>6</v>
      </c>
      <c r="K19" s="35" t="s">
        <v>7</v>
      </c>
      <c r="L19" s="35"/>
      <c r="M19" s="12" t="s">
        <v>8</v>
      </c>
      <c r="N19" s="35" t="s">
        <v>9</v>
      </c>
      <c r="O19" s="35"/>
      <c r="P19" s="35" t="s">
        <v>10</v>
      </c>
      <c r="Q19" s="35"/>
    </row>
    <row r="20" spans="1:17" ht="42" customHeight="1">
      <c r="A20" s="10"/>
      <c r="B20" s="36" t="str">
        <f>IF(FORMULAIRE!$A$21="","",FORMULAIRE!$A$21)</f>
        <v>T135335</v>
      </c>
      <c r="C20" s="36"/>
      <c r="D20" s="36" t="str">
        <f>IF(FORMULAIRE!$A$21="","",FORMULAIRE!$B$21)</f>
        <v>COMPUTER, RCL W/ DATALOGGER
REPLACES P/N T107350</v>
      </c>
      <c r="E20" s="36"/>
      <c r="F20" s="36"/>
      <c r="G20" s="36"/>
      <c r="H20" s="36"/>
      <c r="I20" s="13">
        <f>IF(FORMULAIRE!$A$21="","",FORMULAIRE!$C$21)</f>
        <v>1</v>
      </c>
      <c r="J20" s="13" t="str">
        <f>IF(FORMULAIRE!$A$21="","",FORMULAIRE!$D$21)</f>
        <v>Imm</v>
      </c>
      <c r="K20" s="37">
        <f>IF(FORMULAIRE!$A$21="","",FORMULAIRE!$E$21)</f>
        <v>11844</v>
      </c>
      <c r="L20" s="37"/>
      <c r="M20" s="15">
        <f>IF(FORMULAIRE!$A$21="","",FORMULAIRE!$F$21)</f>
        <v>0.2</v>
      </c>
      <c r="N20" s="37">
        <f>IF(FORMULAIRE!$A$21="","",FORMULAIRE!$G$21)</f>
        <v>9475.2000000000007</v>
      </c>
      <c r="O20" s="37"/>
      <c r="P20" s="37">
        <f>IF(FORMULAIRE!$A$21="","",FORMULAIRE!$H$21)</f>
        <v>9475.2000000000007</v>
      </c>
      <c r="Q20" s="37"/>
    </row>
    <row r="21" spans="1:17" ht="42" customHeight="1">
      <c r="A21" s="10"/>
      <c r="B21" s="36" t="str">
        <f>IF(FORMULAIRE!$A$22="","",FORMULAIRE!$A$22)</f>
        <v>TRANSP</v>
      </c>
      <c r="C21" s="36"/>
      <c r="D21" s="36" t="str">
        <f>IF(FORMULAIRE!$A$22="","",FORMULAIRE!$B$22)</f>
        <v>Air freight option incoterms CIF PORT
HARCOURT, NIGERIA – optional</v>
      </c>
      <c r="E21" s="36"/>
      <c r="F21" s="36"/>
      <c r="G21" s="36"/>
      <c r="H21" s="36"/>
      <c r="I21" s="13">
        <f>IF(FORMULAIRE!$A$22="","",FORMULAIRE!$C$22)</f>
        <v>1</v>
      </c>
      <c r="J21" s="13" t="str">
        <f>IF(FORMULAIRE!$A$22="","",FORMULAIRE!$D$22)</f>
        <v>10D</v>
      </c>
      <c r="K21" s="37">
        <f>IF(FORMULAIRE!$A$22="","",FORMULAIRE!$E$22)</f>
        <v>900</v>
      </c>
      <c r="L21" s="37"/>
      <c r="M21" s="15">
        <f>IF(FORMULAIRE!$A$22="","",FORMULAIRE!$F$22)</f>
        <v>0</v>
      </c>
      <c r="N21" s="37">
        <f>IF(FORMULAIRE!$A$22="","",FORMULAIRE!$G$22)</f>
        <v>900</v>
      </c>
      <c r="O21" s="37"/>
      <c r="P21" s="37">
        <f>IF(FORMULAIRE!$A$22="","",FORMULAIRE!$H$22)</f>
        <v>900</v>
      </c>
      <c r="Q21" s="37"/>
    </row>
    <row r="22" spans="1:17" ht="26" customHeight="1">
      <c r="A22" s="10"/>
      <c r="B22" s="36" t="str">
        <f>IF(FORMULAIRE!$A$23="","",FORMULAIRE!$A$23)</f>
        <v/>
      </c>
      <c r="C22" s="36"/>
      <c r="D22" s="36" t="str">
        <f>IF(FORMULAIRE!$A$23="","",FORMULAIRE!$B$23)</f>
        <v/>
      </c>
      <c r="E22" s="36"/>
      <c r="F22" s="36"/>
      <c r="G22" s="36"/>
      <c r="H22" s="36"/>
      <c r="I22" s="13" t="str">
        <f>IF(FORMULAIRE!$A$23="","",FORMULAIRE!$C$23)</f>
        <v/>
      </c>
      <c r="J22" s="13" t="str">
        <f>IF(FORMULAIRE!$A$23="","",FORMULAIRE!$D$23)</f>
        <v/>
      </c>
      <c r="K22" s="37" t="str">
        <f>IF(FORMULAIRE!$A$23="","",FORMULAIRE!$E$23)</f>
        <v/>
      </c>
      <c r="L22" s="37"/>
      <c r="M22" s="15" t="str">
        <f>IF(FORMULAIRE!$A$23="","",FORMULAIRE!$F$23)</f>
        <v/>
      </c>
      <c r="N22" s="37" t="str">
        <f>IF(FORMULAIRE!$A$23="","",FORMULAIRE!$G$23)</f>
        <v/>
      </c>
      <c r="O22" s="37"/>
      <c r="P22" s="37" t="str">
        <f>IF(FORMULAIRE!$A$23="","",FORMULAIRE!$H$23)</f>
        <v/>
      </c>
      <c r="Q22" s="37"/>
    </row>
    <row r="23" spans="1:17" ht="26" customHeight="1">
      <c r="A23" s="10"/>
      <c r="B23" s="36" t="str">
        <f>IF(FORMULAIRE!$A$24="","",FORMULAIRE!$A$24)</f>
        <v/>
      </c>
      <c r="C23" s="36"/>
      <c r="D23" s="36" t="str">
        <f>IF(FORMULAIRE!$A$24="","",FORMULAIRE!$B$24)</f>
        <v/>
      </c>
      <c r="E23" s="36"/>
      <c r="F23" s="36"/>
      <c r="G23" s="36"/>
      <c r="H23" s="36"/>
      <c r="I23" s="13" t="str">
        <f>IF(FORMULAIRE!$A$24="","",FORMULAIRE!$C$24)</f>
        <v/>
      </c>
      <c r="J23" s="13" t="str">
        <f>IF(FORMULAIRE!$A$24="","",FORMULAIRE!$D$24)</f>
        <v/>
      </c>
      <c r="K23" s="37" t="str">
        <f>IF(FORMULAIRE!$A$24="","",FORMULAIRE!$E$24)</f>
        <v/>
      </c>
      <c r="L23" s="37"/>
      <c r="M23" s="15" t="str">
        <f>IF(FORMULAIRE!$A$24="","",FORMULAIRE!$F$24)</f>
        <v/>
      </c>
      <c r="N23" s="37" t="str">
        <f>IF(FORMULAIRE!$A$24="","",FORMULAIRE!$G$24)</f>
        <v/>
      </c>
      <c r="O23" s="37"/>
      <c r="P23" s="37" t="str">
        <f>IF(FORMULAIRE!$A$24="","",FORMULAIRE!$H$24)</f>
        <v/>
      </c>
      <c r="Q23" s="37"/>
    </row>
    <row r="24" spans="1:17" ht="26" customHeight="1">
      <c r="A24" s="10"/>
      <c r="B24" s="36" t="str">
        <f>IF(FORMULAIRE!$A$25="","",FORMULAIRE!$A$25)</f>
        <v/>
      </c>
      <c r="C24" s="36"/>
      <c r="D24" s="36" t="str">
        <f>IF(FORMULAIRE!$A$25="","",FORMULAIRE!$B$25)</f>
        <v/>
      </c>
      <c r="E24" s="36"/>
      <c r="F24" s="36"/>
      <c r="G24" s="36"/>
      <c r="H24" s="36"/>
      <c r="I24" s="13" t="str">
        <f>IF(FORMULAIRE!$A$25="","",FORMULAIRE!$C$25)</f>
        <v/>
      </c>
      <c r="J24" s="13" t="str">
        <f>IF(FORMULAIRE!$A$25="","",FORMULAIRE!$D$25)</f>
        <v/>
      </c>
      <c r="K24" s="37" t="str">
        <f>IF(FORMULAIRE!$A$25="","",FORMULAIRE!$E$25)</f>
        <v/>
      </c>
      <c r="L24" s="37"/>
      <c r="M24" s="15" t="str">
        <f>IF(FORMULAIRE!$A$25="","",FORMULAIRE!$F$25)</f>
        <v/>
      </c>
      <c r="N24" s="37" t="str">
        <f>IF(FORMULAIRE!$A$25="","",FORMULAIRE!$G$25)</f>
        <v/>
      </c>
      <c r="O24" s="37"/>
      <c r="P24" s="37" t="str">
        <f>IF(FORMULAIRE!$A$25="","",FORMULAIRE!$H$25)</f>
        <v/>
      </c>
      <c r="Q24" s="37"/>
    </row>
    <row r="25" spans="1:17" ht="26" customHeight="1">
      <c r="A25" s="10"/>
      <c r="B25" s="36" t="str">
        <f>IF(FORMULAIRE!$A$26="","",FORMULAIRE!$A$26)</f>
        <v/>
      </c>
      <c r="C25" s="36"/>
      <c r="D25" s="36" t="str">
        <f>IF(FORMULAIRE!$A$26="","",FORMULAIRE!$B$26)</f>
        <v/>
      </c>
      <c r="E25" s="36"/>
      <c r="F25" s="36"/>
      <c r="G25" s="36"/>
      <c r="H25" s="36"/>
      <c r="I25" s="13" t="str">
        <f>IF(FORMULAIRE!$A$26="","",FORMULAIRE!$C$26)</f>
        <v/>
      </c>
      <c r="J25" s="13" t="str">
        <f>IF(FORMULAIRE!$A$26="","",FORMULAIRE!$D$26)</f>
        <v/>
      </c>
      <c r="K25" s="37" t="str">
        <f>IF(FORMULAIRE!$A$26="","",FORMULAIRE!$E$26)</f>
        <v/>
      </c>
      <c r="L25" s="37"/>
      <c r="M25" s="15" t="str">
        <f>IF(FORMULAIRE!$A$26="","",FORMULAIRE!$F$26)</f>
        <v/>
      </c>
      <c r="N25" s="37" t="str">
        <f>IF(FORMULAIRE!$A$26="","",FORMULAIRE!$G$26)</f>
        <v/>
      </c>
      <c r="O25" s="37"/>
      <c r="P25" s="37" t="str">
        <f>IF(FORMULAIRE!$A$26="","",FORMULAIRE!$H$26)</f>
        <v/>
      </c>
      <c r="Q25" s="37"/>
    </row>
    <row r="26" spans="1:17" ht="26" customHeight="1">
      <c r="A26" s="10"/>
      <c r="B26" s="36" t="str">
        <f>IF(FORMULAIRE!$A$27="","",FORMULAIRE!$A$27)</f>
        <v/>
      </c>
      <c r="C26" s="36"/>
      <c r="D26" s="36" t="str">
        <f>IF(FORMULAIRE!$A$27="","",FORMULAIRE!$B$27)</f>
        <v/>
      </c>
      <c r="E26" s="36"/>
      <c r="F26" s="36"/>
      <c r="G26" s="36"/>
      <c r="H26" s="36"/>
      <c r="I26" s="13" t="str">
        <f>IF(FORMULAIRE!$A$27="","",FORMULAIRE!$C$27)</f>
        <v/>
      </c>
      <c r="J26" s="13" t="str">
        <f>IF(FORMULAIRE!$A$27="","",FORMULAIRE!$D$27)</f>
        <v/>
      </c>
      <c r="K26" s="37" t="str">
        <f>IF(FORMULAIRE!$A$27="","",FORMULAIRE!$E$27)</f>
        <v/>
      </c>
      <c r="L26" s="37"/>
      <c r="M26" s="15" t="str">
        <f>IF(FORMULAIRE!$A$27="","",FORMULAIRE!$F$27)</f>
        <v/>
      </c>
      <c r="N26" s="37" t="str">
        <f>IF(FORMULAIRE!$A$27="","",FORMULAIRE!$G$27)</f>
        <v/>
      </c>
      <c r="O26" s="37"/>
      <c r="P26" s="37" t="str">
        <f>IF(FORMULAIRE!$A$27="","",FORMULAIRE!$H$27)</f>
        <v/>
      </c>
      <c r="Q26" s="37"/>
    </row>
    <row r="27" spans="1:17" ht="26" customHeight="1">
      <c r="A27" s="10"/>
      <c r="B27" s="36" t="str">
        <f>IF(FORMULAIRE!$A$28="","",FORMULAIRE!$A$28)</f>
        <v/>
      </c>
      <c r="C27" s="36"/>
      <c r="D27" s="36" t="str">
        <f>IF(FORMULAIRE!$A$28="","",FORMULAIRE!$B$28)</f>
        <v/>
      </c>
      <c r="E27" s="36"/>
      <c r="F27" s="36"/>
      <c r="G27" s="36"/>
      <c r="H27" s="36"/>
      <c r="I27" s="13" t="str">
        <f>IF(FORMULAIRE!$A$28="","",FORMULAIRE!$C$28)</f>
        <v/>
      </c>
      <c r="J27" s="13" t="str">
        <f>IF(FORMULAIRE!$A$28="","",FORMULAIRE!$D$28)</f>
        <v/>
      </c>
      <c r="K27" s="37" t="str">
        <f>IF(FORMULAIRE!$A$28="","",FORMULAIRE!$E$28)</f>
        <v/>
      </c>
      <c r="L27" s="37"/>
      <c r="M27" s="15" t="str">
        <f>IF(FORMULAIRE!$A$28="","",FORMULAIRE!$F$28)</f>
        <v/>
      </c>
      <c r="N27" s="37" t="str">
        <f>IF(FORMULAIRE!$A$28="","",FORMULAIRE!$G$28)</f>
        <v/>
      </c>
      <c r="O27" s="37"/>
      <c r="P27" s="37" t="str">
        <f>IF(FORMULAIRE!$A$28="","",FORMULAIRE!$H$28)</f>
        <v/>
      </c>
      <c r="Q27" s="37"/>
    </row>
    <row r="28" spans="1:17" ht="20" customHeight="1">
      <c r="A28" s="10"/>
      <c r="B28" s="36"/>
      <c r="C28" s="36"/>
      <c r="D28" s="36" t="str">
        <f>"Account Name: "&amp;FORMULAIRE!$B$31&amp;CHAR(10)&amp;"Number: "&amp;FORMULAIRE!$B$32&amp;CHAR(10)&amp;"BENEFICIARY BANK: "&amp;FORMULAIRE!$B$33&amp;CHAR(10)&amp;"SWIFT CODE: "&amp;FORMULAIRE!$B$34&amp;CHAR(10)&amp;"SORT CODE: "&amp;FORMULAIRE!$B$35</f>
        <v>Account Name: WESTCHASE OIL AND GAS LTD
Number: USD ACCOUNT NO : 5250152975
BENEFICIARY BANK: FIDELITY BANK PLC
SWIFT CODE: CITIUS33
SORT CODE: FIDTNGLA</v>
      </c>
      <c r="E28" s="36"/>
      <c r="F28" s="36"/>
      <c r="G28" s="36"/>
      <c r="H28" s="36"/>
      <c r="I28" s="13"/>
      <c r="J28" s="13"/>
      <c r="K28" s="39"/>
      <c r="L28" s="39"/>
      <c r="M28" s="13"/>
      <c r="N28" s="39"/>
      <c r="O28" s="39"/>
      <c r="P28" s="39"/>
      <c r="Q28" s="39"/>
    </row>
    <row r="29" spans="1:17" ht="20" customHeight="1">
      <c r="A29" s="10"/>
      <c r="B29" s="36"/>
      <c r="C29" s="36"/>
      <c r="D29" s="36"/>
      <c r="E29" s="36"/>
      <c r="F29" s="36"/>
      <c r="G29" s="36"/>
      <c r="H29" s="36"/>
      <c r="I29" s="13"/>
      <c r="J29" s="13"/>
      <c r="K29" s="39"/>
      <c r="L29" s="39"/>
      <c r="M29" s="13"/>
      <c r="N29" s="39"/>
      <c r="O29" s="39"/>
      <c r="P29" s="39"/>
      <c r="Q29" s="39"/>
    </row>
    <row r="30" spans="1:17" ht="20" customHeight="1">
      <c r="A30" s="10"/>
      <c r="B30" s="36"/>
      <c r="C30" s="36"/>
      <c r="D30" s="36"/>
      <c r="E30" s="36"/>
      <c r="F30" s="36"/>
      <c r="G30" s="36"/>
      <c r="H30" s="36"/>
      <c r="I30" s="13"/>
      <c r="J30" s="13"/>
      <c r="K30" s="39"/>
      <c r="L30" s="39"/>
      <c r="M30" s="13"/>
      <c r="N30" s="39"/>
      <c r="O30" s="39"/>
      <c r="P30" s="39"/>
      <c r="Q30" s="39"/>
    </row>
    <row r="31" spans="1:17" ht="20" customHeight="1">
      <c r="A31" s="10"/>
      <c r="B31" s="36"/>
      <c r="C31" s="36"/>
      <c r="D31" s="36"/>
      <c r="E31" s="36"/>
      <c r="F31" s="36"/>
      <c r="G31" s="36"/>
      <c r="H31" s="36"/>
      <c r="I31" s="13"/>
      <c r="J31" s="13"/>
      <c r="K31" s="39"/>
      <c r="L31" s="39"/>
      <c r="M31" s="13"/>
      <c r="N31" s="39"/>
      <c r="O31" s="39"/>
      <c r="P31" s="39"/>
      <c r="Q31" s="39"/>
    </row>
    <row r="32" spans="1:17" ht="49" customHeight="1">
      <c r="A32" s="10"/>
      <c r="B32" s="38"/>
      <c r="C32" s="38"/>
      <c r="D32" s="38"/>
      <c r="E32" s="38"/>
      <c r="F32" s="38"/>
      <c r="G32" s="38"/>
      <c r="H32" s="38"/>
      <c r="I32" s="14"/>
      <c r="J32" s="14"/>
      <c r="K32" s="40"/>
      <c r="L32" s="40"/>
      <c r="M32" s="14"/>
      <c r="N32" s="40"/>
      <c r="O32" s="40"/>
      <c r="P32" s="40"/>
      <c r="Q32" s="40"/>
    </row>
    <row r="33" spans="1:17" ht="10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6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 ht="22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41" t="s">
        <v>11</v>
      </c>
      <c r="L35" s="41"/>
      <c r="M35" s="41"/>
      <c r="N35" s="41" t="s">
        <v>12</v>
      </c>
      <c r="O35" s="41"/>
      <c r="P35" s="41" t="s">
        <v>13</v>
      </c>
      <c r="Q35" s="41"/>
    </row>
    <row r="36" spans="1:17" ht="24" customHeight="1">
      <c r="A36" s="10"/>
      <c r="B36" s="47" t="s">
        <v>14</v>
      </c>
      <c r="C36" s="47"/>
      <c r="D36" s="47" t="str">
        <f>FORMULAIRE!$B$14</f>
        <v>Advance payment</v>
      </c>
      <c r="E36" s="17"/>
      <c r="F36" s="47" t="str">
        <f>FORMULAIRE!$B$14</f>
        <v>Advance payment</v>
      </c>
      <c r="G36" s="47"/>
      <c r="H36" s="47"/>
      <c r="I36" s="10"/>
      <c r="J36" s="10"/>
      <c r="K36" s="42">
        <f>SUM(FORMULAIRE!$H$21:$H$28)</f>
        <v>10375.200000000001</v>
      </c>
      <c r="L36" s="42"/>
      <c r="M36" s="42"/>
      <c r="N36" s="42" t="str">
        <f>IF(FORMULAIRE!$B$18=0,"",SUM(FORMULAIRE!$H$21:$H$28)*FORMULAIRE!$B$18)</f>
        <v/>
      </c>
      <c r="O36" s="42"/>
      <c r="P36" s="42">
        <f>SUM(FORMULAIRE!$H$21:$H$28)*(1+FORMULAIRE!$B$18)</f>
        <v>10375.200000000001</v>
      </c>
      <c r="Q36" s="42"/>
    </row>
    <row r="37" spans="1:17" ht="24" customHeight="1">
      <c r="A37" s="10"/>
      <c r="B37" s="47" t="s">
        <v>15</v>
      </c>
      <c r="C37" s="47"/>
      <c r="D37" s="47" t="str">
        <f>FORMULAIRE!$B$15</f>
        <v>30 Days</v>
      </c>
      <c r="E37" s="17"/>
      <c r="F37" s="47" t="str">
        <f>FORMULAIRE!$B$15</f>
        <v>30 Days</v>
      </c>
      <c r="G37" s="47"/>
      <c r="H37" s="47"/>
      <c r="I37" s="10"/>
      <c r="J37" s="10"/>
      <c r="K37" s="42"/>
      <c r="L37" s="42"/>
      <c r="M37" s="42"/>
      <c r="N37" s="42"/>
      <c r="O37" s="42"/>
      <c r="P37" s="42"/>
      <c r="Q37" s="42"/>
    </row>
    <row r="38" spans="1:17" ht="18" customHeight="1">
      <c r="A38" s="10"/>
      <c r="B38" s="47" t="s">
        <v>16</v>
      </c>
      <c r="C38" s="47"/>
      <c r="D38" s="47" t="str">
        <f>FORMULAIRE!$B$16</f>
        <v>CIF, Port Harcourt</v>
      </c>
      <c r="E38" s="17"/>
      <c r="F38" s="47" t="str">
        <f>FORMULAIRE!$B$16</f>
        <v>CIF, Port Harcourt</v>
      </c>
      <c r="G38" s="47"/>
      <c r="H38" s="47"/>
      <c r="I38" s="10"/>
      <c r="J38" s="10"/>
      <c r="K38" s="10"/>
      <c r="L38" s="10"/>
      <c r="M38" s="10"/>
      <c r="N38" s="10"/>
      <c r="O38" s="10"/>
      <c r="P38" s="10"/>
      <c r="Q38" s="10"/>
    </row>
    <row r="39" spans="1:17" ht="18" customHeight="1">
      <c r="A39" s="10"/>
      <c r="B39" s="47" t="s">
        <v>17</v>
      </c>
      <c r="C39" s="47"/>
      <c r="D39" s="47" t="str">
        <f>FORMULAIRE!$B$17</f>
        <v>USD</v>
      </c>
      <c r="E39" s="17"/>
      <c r="F39" s="47" t="str">
        <f>FORMULAIRE!$B$17</f>
        <v>USD</v>
      </c>
      <c r="G39" s="47"/>
      <c r="H39" s="47"/>
      <c r="I39" s="10"/>
      <c r="J39" s="10"/>
      <c r="K39" s="10"/>
      <c r="L39" s="10"/>
      <c r="M39" s="10"/>
      <c r="N39" s="10"/>
      <c r="O39" s="10"/>
      <c r="P39" s="10"/>
      <c r="Q39" s="10"/>
    </row>
    <row r="40" spans="1:17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 ht="20" customHeight="1">
      <c r="A42" s="10"/>
      <c r="B42" s="33" t="s">
        <v>18</v>
      </c>
      <c r="C42" s="34"/>
      <c r="D42" s="34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 ht="20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 ht="20" customHeight="1">
      <c r="A44" s="10"/>
      <c r="B44" s="43" t="s">
        <v>19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20" customHeight="1">
      <c r="A45" s="10"/>
      <c r="B45" s="43" t="s">
        <v>20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</row>
    <row r="46" spans="1:17" ht="20" customHeight="1">
      <c r="A46" s="10"/>
      <c r="B46" s="43" t="s">
        <v>21</v>
      </c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20" customHeight="1">
      <c r="A47" s="10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 ht="20" customHeight="1">
      <c r="A48" s="10"/>
      <c r="B48" s="43" t="s">
        <v>22</v>
      </c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</row>
    <row r="49" spans="1:17" ht="20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20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17" ht="20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</row>
    <row r="52" spans="1:17" ht="1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17" ht="15" customHeight="1">
      <c r="A53" s="10"/>
      <c r="B53" s="44" t="str">
        <f>FORMULAIRE!$B$37</f>
        <v>WESTCHASE OIL &amp; GAS – 11, Sumbo Jibowu Ikoyi, Lagos, Lagos, Nigeria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</row>
    <row r="54" spans="1:17" ht="15" customHeight="1">
      <c r="A54" s="10"/>
      <c r="B54" s="45" t="str">
        <f>FORMULAIRE!$B$38</f>
        <v>Tél. : +234 814 315 5517 - vematwestchase @vematgroup.com</v>
      </c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</row>
    <row r="55" spans="1:17">
      <c r="A55" s="10"/>
      <c r="B55" s="45" t="str">
        <f>FORMULAIRE!$B$39</f>
        <v>Vemat Westchase LTD is an authorized distributor of TEREX RT CRANES, TADANO, JLG, MAGNI, INGERSOLL RAND, and MECALAC products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</row>
    <row r="56" spans="1:1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</sheetData>
  <mergeCells count="97">
    <mergeCell ref="F39:H39"/>
    <mergeCell ref="B53:Q53"/>
    <mergeCell ref="B54:Q54"/>
    <mergeCell ref="B55:Q55"/>
    <mergeCell ref="B15:D15"/>
    <mergeCell ref="E15:H15"/>
    <mergeCell ref="B16:D16"/>
    <mergeCell ref="E16:H16"/>
    <mergeCell ref="B17:D17"/>
    <mergeCell ref="E17:H17"/>
    <mergeCell ref="B36:D36"/>
    <mergeCell ref="B37:D37"/>
    <mergeCell ref="B38:D38"/>
    <mergeCell ref="B39:D39"/>
    <mergeCell ref="F36:H36"/>
    <mergeCell ref="F37:H37"/>
    <mergeCell ref="F38:H38"/>
    <mergeCell ref="B42:D42"/>
    <mergeCell ref="B44:Q44"/>
    <mergeCell ref="B45:Q45"/>
    <mergeCell ref="B46:Q46"/>
    <mergeCell ref="B48:Q48"/>
    <mergeCell ref="K35:M35"/>
    <mergeCell ref="N35:O35"/>
    <mergeCell ref="P35:Q35"/>
    <mergeCell ref="K36:M37"/>
    <mergeCell ref="N36:O37"/>
    <mergeCell ref="P36:Q37"/>
    <mergeCell ref="P31:Q31"/>
    <mergeCell ref="B32:C32"/>
    <mergeCell ref="K32:L32"/>
    <mergeCell ref="N32:O32"/>
    <mergeCell ref="P32:Q32"/>
    <mergeCell ref="D28:H32"/>
    <mergeCell ref="B28:C28"/>
    <mergeCell ref="K28:L28"/>
    <mergeCell ref="N28:O28"/>
    <mergeCell ref="P28:Q28"/>
    <mergeCell ref="B29:C29"/>
    <mergeCell ref="K29:L29"/>
    <mergeCell ref="N29:O29"/>
    <mergeCell ref="P29:Q29"/>
    <mergeCell ref="B30:C30"/>
    <mergeCell ref="K30:L30"/>
    <mergeCell ref="N30:O30"/>
    <mergeCell ref="P30:Q30"/>
    <mergeCell ref="B31:C31"/>
    <mergeCell ref="K31:L31"/>
    <mergeCell ref="N31:O31"/>
    <mergeCell ref="B27:C27"/>
    <mergeCell ref="D27:H27"/>
    <mergeCell ref="K27:L27"/>
    <mergeCell ref="N27:O27"/>
    <mergeCell ref="P27:Q27"/>
    <mergeCell ref="B26:C26"/>
    <mergeCell ref="D26:H26"/>
    <mergeCell ref="K26:L26"/>
    <mergeCell ref="N26:O26"/>
    <mergeCell ref="P26:Q26"/>
    <mergeCell ref="B25:C25"/>
    <mergeCell ref="D25:H25"/>
    <mergeCell ref="K25:L25"/>
    <mergeCell ref="N25:O25"/>
    <mergeCell ref="P25:Q25"/>
    <mergeCell ref="B24:C24"/>
    <mergeCell ref="D24:H24"/>
    <mergeCell ref="K24:L24"/>
    <mergeCell ref="N24:O24"/>
    <mergeCell ref="P24:Q24"/>
    <mergeCell ref="B23:C23"/>
    <mergeCell ref="D23:H23"/>
    <mergeCell ref="K23:L23"/>
    <mergeCell ref="N23:O23"/>
    <mergeCell ref="P23:Q23"/>
    <mergeCell ref="B22:C22"/>
    <mergeCell ref="D22:H22"/>
    <mergeCell ref="K22:L22"/>
    <mergeCell ref="N22:O22"/>
    <mergeCell ref="P22:Q22"/>
    <mergeCell ref="B21:C21"/>
    <mergeCell ref="D21:H21"/>
    <mergeCell ref="K21:L21"/>
    <mergeCell ref="N21:O21"/>
    <mergeCell ref="P21:Q21"/>
    <mergeCell ref="B20:C20"/>
    <mergeCell ref="D20:H20"/>
    <mergeCell ref="K20:L20"/>
    <mergeCell ref="N20:O20"/>
    <mergeCell ref="P20:Q20"/>
    <mergeCell ref="B10:E11"/>
    <mergeCell ref="J10:Q14"/>
    <mergeCell ref="B13:D13"/>
    <mergeCell ref="B19:C19"/>
    <mergeCell ref="D19:H19"/>
    <mergeCell ref="K19:L19"/>
    <mergeCell ref="N19:O19"/>
    <mergeCell ref="P19:Q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showGridLines="0" tabSelected="1" workbookViewId="0">
      <selection sqref="A1:H1"/>
    </sheetView>
  </sheetViews>
  <sheetFormatPr baseColWidth="10" defaultColWidth="8.83203125" defaultRowHeight="14"/>
  <cols>
    <col min="1" max="1" width="24" customWidth="1"/>
    <col min="2" max="2" width="56" customWidth="1"/>
    <col min="3" max="4" width="10" customWidth="1"/>
    <col min="5" max="5" width="12" customWidth="1"/>
    <col min="6" max="6" width="10" customWidth="1"/>
    <col min="7" max="7" width="18" customWidth="1"/>
    <col min="8" max="8" width="14" customWidth="1"/>
  </cols>
  <sheetData>
    <row r="1" spans="1:8" ht="24" customHeight="1">
      <c r="A1" s="48" t="s">
        <v>23</v>
      </c>
      <c r="B1" s="49"/>
      <c r="C1" s="49"/>
      <c r="D1" s="49"/>
      <c r="E1" s="49"/>
      <c r="F1" s="49"/>
      <c r="G1" s="49"/>
      <c r="H1" s="49"/>
    </row>
    <row r="2" spans="1:8" ht="15">
      <c r="A2" s="1" t="s">
        <v>24</v>
      </c>
      <c r="B2" s="2" t="s">
        <v>25</v>
      </c>
    </row>
    <row r="3" spans="1:8" ht="15">
      <c r="A3" s="1" t="s">
        <v>26</v>
      </c>
      <c r="B3" s="2" t="s">
        <v>27</v>
      </c>
    </row>
    <row r="4" spans="1:8" ht="15">
      <c r="A4" s="1" t="s">
        <v>28</v>
      </c>
      <c r="B4" s="3">
        <v>46198</v>
      </c>
    </row>
    <row r="5" spans="1:8" ht="15">
      <c r="A5" s="1" t="s">
        <v>29</v>
      </c>
      <c r="B5" s="2" t="s">
        <v>30</v>
      </c>
    </row>
    <row r="6" spans="1:8" ht="15">
      <c r="A6" s="1" t="s">
        <v>31</v>
      </c>
      <c r="B6" s="2" t="s">
        <v>32</v>
      </c>
    </row>
    <row r="7" spans="1:8" ht="15">
      <c r="A7" s="1" t="s">
        <v>33</v>
      </c>
      <c r="B7" s="2" t="s">
        <v>34</v>
      </c>
    </row>
    <row r="8" spans="1:8" ht="15">
      <c r="A8" s="1"/>
      <c r="B8" s="2"/>
    </row>
    <row r="9" spans="1:8" ht="15">
      <c r="A9" s="1" t="s">
        <v>35</v>
      </c>
      <c r="B9" s="2" t="s">
        <v>36</v>
      </c>
    </row>
    <row r="10" spans="1:8" ht="15">
      <c r="A10" s="1" t="s">
        <v>37</v>
      </c>
      <c r="B10" s="2" t="s">
        <v>38</v>
      </c>
    </row>
    <row r="11" spans="1:8" ht="15">
      <c r="A11" s="1" t="s">
        <v>39</v>
      </c>
      <c r="B11" s="2" t="s">
        <v>40</v>
      </c>
    </row>
    <row r="12" spans="1:8" ht="15">
      <c r="A12" s="1" t="s">
        <v>41</v>
      </c>
      <c r="B12" s="2" t="s">
        <v>42</v>
      </c>
    </row>
    <row r="13" spans="1:8" ht="15">
      <c r="A13" s="1"/>
      <c r="B13" s="2"/>
    </row>
    <row r="14" spans="1:8" ht="15">
      <c r="A14" s="1" t="s">
        <v>43</v>
      </c>
      <c r="B14" s="2" t="s">
        <v>44</v>
      </c>
    </row>
    <row r="15" spans="1:8" ht="15">
      <c r="A15" s="1" t="s">
        <v>45</v>
      </c>
      <c r="B15" s="2" t="s">
        <v>46</v>
      </c>
    </row>
    <row r="16" spans="1:8" ht="15">
      <c r="A16" s="1" t="s">
        <v>47</v>
      </c>
      <c r="B16" s="2" t="s">
        <v>48</v>
      </c>
    </row>
    <row r="17" spans="1:8" ht="15">
      <c r="A17" s="1" t="s">
        <v>49</v>
      </c>
      <c r="B17" s="2" t="s">
        <v>50</v>
      </c>
    </row>
    <row r="18" spans="1:8" ht="15">
      <c r="A18" s="1" t="s">
        <v>51</v>
      </c>
      <c r="B18" s="4">
        <v>0</v>
      </c>
    </row>
    <row r="20" spans="1:8" ht="15">
      <c r="A20" s="5" t="s">
        <v>3</v>
      </c>
      <c r="B20" s="5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52</v>
      </c>
      <c r="H20" s="5" t="s">
        <v>10</v>
      </c>
    </row>
    <row r="21" spans="1:8" ht="42" customHeight="1">
      <c r="A21" s="6" t="s">
        <v>53</v>
      </c>
      <c r="B21" s="6" t="s">
        <v>54</v>
      </c>
      <c r="C21" s="6">
        <v>1</v>
      </c>
      <c r="D21" s="6" t="s">
        <v>55</v>
      </c>
      <c r="E21" s="7">
        <v>11844</v>
      </c>
      <c r="F21" s="8">
        <v>0.2</v>
      </c>
      <c r="G21" s="9">
        <f t="shared" ref="G21:G28" si="0">IF(A21="","",E21*(1-F21))</f>
        <v>9475.2000000000007</v>
      </c>
      <c r="H21" s="9">
        <f t="shared" ref="H21:H28" si="1">IF(A21="","",C21*G21)</f>
        <v>9475.2000000000007</v>
      </c>
    </row>
    <row r="22" spans="1:8" ht="42" customHeight="1">
      <c r="A22" s="6" t="s">
        <v>56</v>
      </c>
      <c r="B22" s="6" t="s">
        <v>57</v>
      </c>
      <c r="C22" s="6">
        <v>1</v>
      </c>
      <c r="D22" s="6" t="s">
        <v>58</v>
      </c>
      <c r="E22" s="7">
        <v>900</v>
      </c>
      <c r="F22" s="8">
        <v>0</v>
      </c>
      <c r="G22" s="9">
        <f t="shared" si="0"/>
        <v>900</v>
      </c>
      <c r="H22" s="9">
        <f t="shared" si="1"/>
        <v>900</v>
      </c>
    </row>
    <row r="23" spans="1:8" ht="42" customHeight="1">
      <c r="A23" s="6"/>
      <c r="B23" s="6"/>
      <c r="C23" s="6"/>
      <c r="D23" s="6"/>
      <c r="E23" s="7"/>
      <c r="F23" s="8"/>
      <c r="G23" s="9" t="str">
        <f t="shared" si="0"/>
        <v/>
      </c>
      <c r="H23" s="9" t="str">
        <f t="shared" si="1"/>
        <v/>
      </c>
    </row>
    <row r="24" spans="1:8" ht="42" customHeight="1">
      <c r="A24" s="6"/>
      <c r="B24" s="6"/>
      <c r="C24" s="6"/>
      <c r="D24" s="6"/>
      <c r="E24" s="7"/>
      <c r="F24" s="8"/>
      <c r="G24" s="9" t="str">
        <f t="shared" si="0"/>
        <v/>
      </c>
      <c r="H24" s="9" t="str">
        <f t="shared" si="1"/>
        <v/>
      </c>
    </row>
    <row r="25" spans="1:8" ht="42" customHeight="1">
      <c r="A25" s="6"/>
      <c r="B25" s="6"/>
      <c r="C25" s="6"/>
      <c r="D25" s="6"/>
      <c r="E25" s="7"/>
      <c r="F25" s="8"/>
      <c r="G25" s="9" t="str">
        <f t="shared" si="0"/>
        <v/>
      </c>
      <c r="H25" s="9" t="str">
        <f t="shared" si="1"/>
        <v/>
      </c>
    </row>
    <row r="26" spans="1:8" ht="42" customHeight="1">
      <c r="A26" s="6"/>
      <c r="B26" s="6"/>
      <c r="C26" s="6"/>
      <c r="D26" s="6"/>
      <c r="E26" s="7"/>
      <c r="F26" s="8"/>
      <c r="G26" s="9" t="str">
        <f t="shared" si="0"/>
        <v/>
      </c>
      <c r="H26" s="9" t="str">
        <f t="shared" si="1"/>
        <v/>
      </c>
    </row>
    <row r="27" spans="1:8" ht="42" customHeight="1">
      <c r="A27" s="6"/>
      <c r="B27" s="6"/>
      <c r="C27" s="6"/>
      <c r="D27" s="6"/>
      <c r="E27" s="7"/>
      <c r="F27" s="8"/>
      <c r="G27" s="9" t="str">
        <f t="shared" si="0"/>
        <v/>
      </c>
      <c r="H27" s="9" t="str">
        <f t="shared" si="1"/>
        <v/>
      </c>
    </row>
    <row r="28" spans="1:8" ht="42" customHeight="1">
      <c r="A28" s="6"/>
      <c r="B28" s="6"/>
      <c r="C28" s="6"/>
      <c r="D28" s="6"/>
      <c r="E28" s="7"/>
      <c r="F28" s="8"/>
      <c r="G28" s="9" t="str">
        <f t="shared" si="0"/>
        <v/>
      </c>
      <c r="H28" s="9" t="str">
        <f t="shared" si="1"/>
        <v/>
      </c>
    </row>
    <row r="31" spans="1:8" ht="15">
      <c r="A31" s="1" t="s">
        <v>59</v>
      </c>
      <c r="B31" s="2" t="s">
        <v>60</v>
      </c>
    </row>
    <row r="32" spans="1:8" ht="15">
      <c r="A32" s="1" t="s">
        <v>61</v>
      </c>
      <c r="B32" s="2" t="s">
        <v>62</v>
      </c>
    </row>
    <row r="33" spans="1:2" ht="15">
      <c r="A33" s="1" t="s">
        <v>63</v>
      </c>
      <c r="B33" s="2" t="s">
        <v>64</v>
      </c>
    </row>
    <row r="34" spans="1:2" ht="15">
      <c r="A34" s="1" t="s">
        <v>65</v>
      </c>
      <c r="B34" s="2" t="s">
        <v>66</v>
      </c>
    </row>
    <row r="35" spans="1:2" ht="15">
      <c r="A35" s="1" t="s">
        <v>67</v>
      </c>
      <c r="B35" s="2" t="s">
        <v>68</v>
      </c>
    </row>
    <row r="37" spans="1:2" ht="15">
      <c r="A37" s="1" t="s">
        <v>69</v>
      </c>
      <c r="B37" s="2" t="s">
        <v>70</v>
      </c>
    </row>
    <row r="38" spans="1:2" ht="15">
      <c r="A38" s="1" t="s">
        <v>71</v>
      </c>
      <c r="B38" s="2" t="s">
        <v>72</v>
      </c>
    </row>
    <row r="39" spans="1:2" ht="15">
      <c r="A39" s="1" t="s">
        <v>73</v>
      </c>
      <c r="B39" s="2" t="s">
        <v>74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OFFRE</vt:lpstr>
      <vt:lpstr>FORMULAIRE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Paduano Diaz, Enzo Fernando</cp:lastModifiedBy>
  <dcterms:modified xsi:type="dcterms:W3CDTF">2026-07-13T13:36:17Z</dcterms:modified>
</cp:coreProperties>
</file>